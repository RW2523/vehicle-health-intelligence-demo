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c9ed37ff6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mTom_7cities_indicators" sheetId="1" r:id="Rf59afe5db5fb4c0b"/>
    <x:sheet xmlns:r="http://schemas.openxmlformats.org/officeDocument/2006/relationships" name="Data_Dictionary" sheetId="2" r:id="R98b57db9ca594375"/>
    <x:sheet xmlns:r="http://schemas.openxmlformats.org/officeDocument/2006/relationships" name="Instructions" sheetId="3" r:id="R4e6a7d65f2e34c5d"/>
    <x:sheet xmlns:r="http://schemas.openxmlformats.org/officeDocument/2006/relationships" name="Validation_Checklist" sheetId="4" r:id="R19ef8926636f42f5"/>
    <x:sheet xmlns:r="http://schemas.openxmlformats.org/officeDocument/2006/relationships" name="Computed_Source_Detail" sheetId="5" r:id="Rc18e42831f0d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0"/>
    <x:numFmt numFmtId="203" formatCode="0.00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4"/>
      <x:color rgb="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  <x:fill>
      <x:patternFill patternType="solid">
        <x:fgColor rgb="4B5563"/>
      </x:patternFill>
    </x:fill>
    <x:fill>
      <x:patternFill patternType="solid">
        <x:fgColor rgb="1F4E78"/>
      </x:patternFill>
    </x:fill>
  </x:fills>
  <x:borders count="20">
    <x:border/>
    <x:border/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2" fontId="0" fillId="0" borderId="18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203" fontId="0" fillId="0" borderId="1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3b8eb32a24b22" /><Relationship Type="http://schemas.openxmlformats.org/officeDocument/2006/relationships/theme" Target="/xl/theme/theme1.xml" Id="Rcaebdb78f0b545de" /><Relationship Type="http://schemas.openxmlformats.org/officeDocument/2006/relationships/sharedStrings" Target="/xl/sharedStrings.xml" Id="Re9ec27286f1641e1" /><Relationship Type="http://schemas.openxmlformats.org/officeDocument/2006/relationships/worksheet" Target="/xl/worksheets/sheet1.xml" Id="Rf59afe5db5fb4c0b" /><Relationship Type="http://schemas.openxmlformats.org/officeDocument/2006/relationships/worksheet" Target="/xl/worksheets/sheet2.xml" Id="R98b57db9ca594375" /><Relationship Type="http://schemas.openxmlformats.org/officeDocument/2006/relationships/worksheet" Target="/xl/worksheets/sheet3.xml" Id="R4e6a7d65f2e34c5d" /><Relationship Type="http://schemas.openxmlformats.org/officeDocument/2006/relationships/worksheet" Target="/xl/worksheets/sheet4.xml" Id="R19ef8926636f42f5" /><Relationship Type="http://schemas.openxmlformats.org/officeDocument/2006/relationships/worksheet" Target="/xl/worksheets/sheet5.xml" Id="Rc18e42831f0d4232" /></Relationships>
</file>

<file path=xl/tables/table1.xml><?xml version="1.0" encoding="utf-8"?>
<x:table xmlns:x="http://schemas.openxmlformats.org/spreadsheetml/2006/main" id="1" name="TomTomIndicatorsTable" displayName="TomTomIndicatorsTable" ref="A1:Q8" headerRowCount="1">
  <x:tableColumns count="17">
    <x:tableColumn id="1" name="city"/>
    <x:tableColumn id="2" name="country"/>
    <x:tableColumn id="3" name="year"/>
    <x:tableColumn id="4" name="average_congestion_percent"/>
    <x:tableColumn id="5" name="average_speed_kmh"/>
    <x:tableColumn id="6" name="tt10_min"/>
    <x:tableColumn id="7" name="tt10_seconds"/>
    <x:tableColumn id="8" name="avg_distance_15min_km"/>
    <x:tableColumn id="9" name="am_peak_tt10_min"/>
    <x:tableColumn id="10" name="pm_peak_tt10_min"/>
    <x:tableColumn id="11" name="peak_asymmetry_index"/>
    <x:tableColumn id="12" name="monthly_congestion_mean_2025"/>
    <x:tableColumn id="13" name="monthly_congestion_sd_2025"/>
    <x:tableColumn id="14" name="monthly_congestion_cv_2025"/>
    <x:tableColumn id="15" name="heatmap_complete"/>
    <x:tableColumn id="16" name="data_status"/>
    <x:tableColumn id="17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E18" headerRowCount="1">
  <x:tableColumns count="5">
    <x:tableColumn id="1" name="column"/>
    <x:tableColumn id="2" name="description"/>
    <x:tableColumn id="3" name="unit_or_scale"/>
    <x:tableColumn id="4" name="required_for_merge"/>
    <x:tableColumn id="5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ChecklistTable" displayName="ValidationChecklistTable" ref="A1:D7" headerRowCount="1">
  <x:tableColumns count="4">
    <x:tableColumn id="1" name="check_item"/>
    <x:tableColumn id="2" name="status"/>
    <x:tableColumn id="3" name="expected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20efa6d31843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eb5a07eea442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61e87792e642a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6.190000057220459" hidden="0" customWidth="1"/>
    <x:col min="4" max="4" width="16" hidden="0" customWidth="1"/>
    <x:col min="5" max="5" width="26.110000610351562" hidden="0" customWidth="1"/>
    <x:col min="6" max="6" width="19.520000457763672" hidden="0" customWidth="1"/>
    <x:col min="7" max="7" width="10.09000015258789" hidden="0" customWidth="1"/>
    <x:col min="8" max="8" width="13.460000038146973" hidden="0" customWidth="1"/>
    <x:col min="9" max="9" width="22.8799991607666" hidden="0" customWidth="1"/>
    <x:col min="10" max="10" width="18.56999969482422" hidden="0" customWidth="1"/>
    <x:col min="11" max="11" width="18.709999084472656" hidden="0" customWidth="1"/>
    <x:col min="12" max="12" width="22.209999084472656" hidden="0" customWidth="1"/>
    <x:col min="13" max="13" width="29.8799991607666" hidden="0" customWidth="1"/>
    <x:col min="14" max="14" width="27.190000534057617" hidden="0" customWidth="1"/>
    <x:col min="15" max="15" width="27.049999237060547" hidden="0" customWidth="1"/>
    <x:col min="16" max="16" width="25.030000686645508" hidden="0" customWidth="1"/>
    <x:col min="17" max="17" width="25.84000015258789" hidden="0" customWidth="1"/>
    <x:col min="18" max="18" width="22.610000610351562" hidden="0" customWidth="1"/>
    <x:col min="19" max="19" width="23.420000076293945" hidden="0" customWidth="1"/>
    <x:col min="20" max="20" width="24.6299991607666" hidden="0" customWidth="1"/>
    <x:col min="21" max="21" width="24.6299991607666" hidden="0" customWidth="1"/>
    <x:col min="22" max="22" width="17.899999618530273" hidden="0" customWidth="1"/>
    <x:col min="23" max="23" width="18.030000686645508" hidden="0" customWidth="1"/>
    <x:col min="24" max="24" width="22.75" hidden="0" customWidth="1"/>
    <x:col min="25" max="25" width="16" hidden="0" customWidth="1"/>
    <x:col min="26" max="26" width="16" hidden="0" customWidth="1"/>
    <x:col min="27" max="27" width="16" hidden="0" customWidth="1"/>
    <x:col min="28" max="28" width="42" hidden="0" customWidth="1"/>
  </x:cols>
  <x:sheetData>
    <x:row r="1" ht="36" customHeight="1">
      <x:c r="A1" s="78" t="str">
        <x:v>city</x:v>
      </x:c>
      <x:c r="B1" s="79" t="str">
        <x:v>country</x:v>
      </x:c>
      <x:c r="C1" s="79" t="str">
        <x:v>year</x:v>
      </x:c>
      <x:c r="D1" s="79" t="str">
        <x:v>area_type</x:v>
      </x:c>
      <x:c r="E1" s="79" t="str">
        <x:v>average_congestion_percent</x:v>
      </x:c>
      <x:c r="F1" s="79" t="str">
        <x:v>average_speed_kmh</x:v>
      </x:c>
      <x:c r="G1" s="79" t="str">
        <x:v>tt10_min</x:v>
      </x:c>
      <x:c r="H1" s="79" t="str">
        <x:v>tt10_seconds</x:v>
      </x:c>
      <x:c r="I1" s="79" t="str">
        <x:v>avg_distance_15min_km</x:v>
      </x:c>
      <x:c r="J1" s="79" t="str">
        <x:v>am_peak_tt10_min</x:v>
      </x:c>
      <x:c r="K1" s="79" t="str">
        <x:v>pm_peak_tt10_min</x:v>
      </x:c>
      <x:c r="L1" s="79" t="str">
        <x:v>peak_asymmetry_index</x:v>
      </x:c>
      <x:c r="M1" s="79" t="str">
        <x:v>monthly_congestion_mean_2025</x:v>
      </x:c>
      <x:c r="N1" s="79" t="str">
        <x:v>monthly_congestion_sd_2025</x:v>
      </x:c>
      <x:c r="O1" s="79" t="str">
        <x:v>monthly_congestion_cv_2025</x:v>
      </x:c>
      <x:c r="P1" s="79" t="str">
        <x:v>monthly_min_month_2025</x:v>
      </x:c>
      <x:c r="Q1" s="80" t="str">
        <x:v>monthly_min_percent_2025</x:v>
      </x:c>
      <x:c r="R1" s="85" t="str">
        <x:v>monthly_max_month_2025</x:v>
      </x:c>
      <x:c r="S1" s="85" t="str">
        <x:v>monthly_max_percent_2025</x:v>
      </x:c>
      <x:c r="T1" s="85" t="str">
        <x:v>am_peak_congestion_percent</x:v>
      </x:c>
      <x:c r="U1" s="85" t="str">
        <x:v>pm_peak_congestion_percent</x:v>
      </x:c>
      <x:c r="V1" s="85" t="str">
        <x:v>am_peak_speed_kmh</x:v>
      </x:c>
      <x:c r="W1" s="85" t="str">
        <x:v>pm_peak_speed_kmh</x:v>
      </x:c>
      <x:c r="X1" s="85" t="str">
        <x:v>rush_hour_time_lost_hours</x:v>
      </x:c>
      <x:c r="Y1" s="85" t="str">
        <x:v>monthly_complete</x:v>
      </x:c>
      <x:c r="Z1" s="85" t="str">
        <x:v>heatmap_complete</x:v>
      </x:c>
      <x:c r="AA1" s="85" t="str">
        <x:v>data_status</x:v>
      </x:c>
      <x:c r="AB1" s="85" t="str">
        <x:v>source_note</x:v>
      </x:c>
    </x:row>
    <x:row r="2">
      <x:c r="A2" s="86" t="str">
        <x:v>George Town</x:v>
      </x:c>
      <x:c r="B2" s="87" t="str">
        <x:v>Malaysia</x:v>
      </x:c>
      <x:c r="C2" s="90" t="n">
        <x:v>2025</x:v>
      </x:c>
      <x:c r="D2" s="88" t="str">
        <x:v>City</x:v>
      </x:c>
      <x:c r="E2" s="91" t="n">
        <x:v>56.7</x:v>
      </x:c>
      <x:c r="F2" s="91" t="n">
        <x:v>19.9</x:v>
      </x:c>
      <x:c r="G2" s="91" t="n">
        <x:v>26.666667</x:v>
      </x:c>
      <x:c r="H2" s="90" t="n">
        <x:f>ROUND(G2*60,0)</x:f>
        <x:v>1600</x:v>
      </x:c>
      <x:c r="I2" s="91" t="n">
        <x:v>5.6</x:v>
      </x:c>
      <x:c r="J2" s="91" t="n">
        <x:v>26.9</x:v>
      </x:c>
      <x:c r="K2" s="91" t="n">
        <x:v>32.433333</x:v>
      </x:c>
      <x:c r="L2" s="91" t="n">
        <x:f>IFERROR((K2-J2)/AVERAGE(J2,K2),"")</x:f>
        <x:v>0.18651684374447663</x:v>
      </x:c>
      <x:c r="M2" s="91" t="n">
        <x:v>56.58</x:v>
      </x:c>
      <x:c r="N2" s="91" t="n">
        <x:v>4.62</x:v>
      </x:c>
      <x:c r="O2" s="91" t="n">
        <x:f>IFERROR(N2/M2,"")</x:f>
        <x:v>0.08165429480381761</x:v>
      </x:c>
      <x:c r="P2" s="87" t="str">
        <x:v>Mar</x:v>
      </x:c>
      <x:c r="Q2" s="101" t="n">
        <x:v>47</x:v>
      </x:c>
      <x:c r="R2" s="93" t="str">
        <x:v>Feb</x:v>
      </x:c>
      <x:c r="S2" s="103" t="n">
        <x:v>62</x:v>
      </x:c>
      <x:c r="T2" s="103" t="n">
        <x:v>62.1</x:v>
      </x:c>
      <x:c r="U2" s="103" t="n">
        <x:v>88.5</x:v>
      </x:c>
      <x:c r="V2" s="103" t="n">
        <x:v>22.3</x:v>
      </x:c>
      <x:c r="W2" s="103" t="n">
        <x:v>18.5</x:v>
      </x:c>
      <x:c r="X2" s="104" t="n">
        <x:v>100</x:v>
      </x:c>
      <x:c r="Y2" s="93" t="str">
        <x:v>Yes</x:v>
      </x:c>
      <x:c r="Z2" s="93" t="str">
        <x:v>Yes</x:v>
      </x:c>
      <x:c r="AA2" s="93" t="str">
        <x:v>final</x:v>
      </x:c>
      <x:c r="AB2" s="93" t="str">
        <x:v>TomTom Traffic Index 2025 cleaned dataset; city-level annual cards, rush-hour panel, 2025 monthly stats, and heatmap QC.</x:v>
      </x:c>
    </x:row>
    <x:row r="3">
      <x:c r="A3" s="86" t="str">
        <x:v>Kota Bharu</x:v>
      </x:c>
      <x:c r="B3" s="87" t="str">
        <x:v>Malaysia</x:v>
      </x:c>
      <x:c r="C3" s="90" t="n">
        <x:v>2025</x:v>
      </x:c>
      <x:c r="D3" s="88" t="str">
        <x:v>City</x:v>
      </x:c>
      <x:c r="E3" s="91" t="n">
        <x:v>47.9</x:v>
      </x:c>
      <x:c r="F3" s="91" t="n">
        <x:v>22.3</x:v>
      </x:c>
      <x:c r="G3" s="91" t="n">
        <x:v>23.25</x:v>
      </x:c>
      <x:c r="H3" s="90" t="n">
        <x:f>ROUND(G3*60,0)</x:f>
        <x:v>1395</x:v>
      </x:c>
      <x:c r="I3" s="91" t="n">
        <x:v>6.5</x:v>
      </x:c>
      <x:c r="J3" s="91" t="n">
        <x:v>24.2</x:v>
      </x:c>
      <x:c r="K3" s="91" t="n">
        <x:v>28.7</x:v>
      </x:c>
      <x:c r="L3" s="91" t="n">
        <x:f>IFERROR((K3-J3)/AVERAGE(J3,K3),"")</x:f>
        <x:v>0.17013232514177695</x:v>
      </x:c>
      <x:c r="M3" s="91" t="n">
        <x:v>48</x:v>
      </x:c>
      <x:c r="N3" s="91" t="n">
        <x:v>3.25</x:v>
      </x:c>
      <x:c r="O3" s="91" t="n">
        <x:f>IFERROR(N3/M3,"")</x:f>
        <x:v>0.06770833333333333</x:v>
      </x:c>
      <x:c r="P3" s="87" t="str">
        <x:v>Jul</x:v>
      </x:c>
      <x:c r="Q3" s="101" t="n">
        <x:v>42</x:v>
      </x:c>
      <x:c r="R3" s="93" t="str">
        <x:v>Jan</x:v>
      </x:c>
      <x:c r="S3" s="103" t="n">
        <x:v>51</x:v>
      </x:c>
      <x:c r="T3" s="103" t="n">
        <x:v>52.8</x:v>
      </x:c>
      <x:c r="U3" s="103" t="n">
        <x:v>81.2</x:v>
      </x:c>
      <x:c r="V3" s="103" t="n">
        <x:v>24.8</x:v>
      </x:c>
      <x:c r="W3" s="103" t="n">
        <x:v>20.9</x:v>
      </x:c>
      <x:c r="X3" s="104" t="n">
        <x:v>84</x:v>
      </x:c>
      <x:c r="Y3" s="93" t="str">
        <x:v>Yes</x:v>
      </x:c>
      <x:c r="Z3" s="93" t="str">
        <x:v>Yes</x:v>
      </x:c>
      <x:c r="AA3" s="93" t="str">
        <x:v>final</x:v>
      </x:c>
      <x:c r="AB3" s="93" t="str">
        <x:v>TomTom Traffic Index 2025 cleaned dataset; city-level annual cards, rush-hour panel, 2025 monthly stats, and heatmap QC.</x:v>
      </x:c>
    </x:row>
    <x:row r="4">
      <x:c r="A4" s="86" t="str">
        <x:v>Kuala Lumpur</x:v>
      </x:c>
      <x:c r="B4" s="87" t="str">
        <x:v>Malaysia</x:v>
      </x:c>
      <x:c r="C4" s="90" t="n">
        <x:v>2025</x:v>
      </x:c>
      <x:c r="D4" s="88" t="str">
        <x:v>City</x:v>
      </x:c>
      <x:c r="E4" s="91" t="n">
        <x:v>43.4</x:v>
      </x:c>
      <x:c r="F4" s="91" t="n">
        <x:v>25.4</x:v>
      </x:c>
      <x:c r="G4" s="91" t="n">
        <x:v>17.916667</x:v>
      </x:c>
      <x:c r="H4" s="90" t="n">
        <x:f>ROUND(G4*60,0)</x:f>
        <x:v>1075</x:v>
      </x:c>
      <x:c r="I4" s="91" t="n">
        <x:v>8.4</x:v>
      </x:c>
      <x:c r="J4" s="91" t="n">
        <x:v>20.833333</x:v>
      </x:c>
      <x:c r="K4" s="91" t="n">
        <x:v>26.2</x:v>
      </x:c>
      <x:c r="L4" s="91" t="n">
        <x:f>IFERROR((K4-J4)/AVERAGE(J4,K4),"")</x:f>
        <x:v>0.22820696122046039</x:v>
      </x:c>
      <x:c r="M4" s="91" t="n">
        <x:v>43.33</x:v>
      </x:c>
      <x:c r="N4" s="91" t="n">
        <x:v>2.57</x:v>
      </x:c>
      <x:c r="O4" s="91" t="n">
        <x:f>IFERROR(N4/M4,"")</x:f>
        <x:v>0.059312254788829906</x:v>
      </x:c>
      <x:c r="P4" s="87" t="str">
        <x:v>Jun</x:v>
      </x:c>
      <x:c r="Q4" s="101" t="n">
        <x:v>39</x:v>
      </x:c>
      <x:c r="R4" s="93" t="str">
        <x:v>Aug</x:v>
      </x:c>
      <x:c r="S4" s="103" t="n">
        <x:v>47</x:v>
      </x:c>
      <x:c r="T4" s="103" t="n">
        <x:v>68.4</x:v>
      </x:c>
      <x:c r="U4" s="103" t="n">
        <x:v>102.1</x:v>
      </x:c>
      <x:c r="V4" s="103" t="n">
        <x:v>28.8</x:v>
      </x:c>
      <x:c r="W4" s="103" t="n">
        <x:v>22.9</x:v>
      </x:c>
      <x:c r="X4" s="104" t="n">
        <x:v>84</x:v>
      </x:c>
      <x:c r="Y4" s="93" t="str">
        <x:v>Yes</x:v>
      </x:c>
      <x:c r="Z4" s="93" t="str">
        <x:v>Yes</x:v>
      </x:c>
      <x:c r="AA4" s="93" t="str">
        <x:v>final</x:v>
      </x:c>
      <x:c r="AB4" s="93" t="str">
        <x:v>TomTom Traffic Index 2025 cleaned dataset; city-level annual cards, rush-hour panel, 2025 monthly stats, and heatmap QC.</x:v>
      </x:c>
    </x:row>
    <x:row r="5">
      <x:c r="A5" s="86" t="str">
        <x:v>Seberang Perai</x:v>
      </x:c>
      <x:c r="B5" s="87" t="str">
        <x:v>Malaysia</x:v>
      </x:c>
      <x:c r="C5" s="90" t="n">
        <x:v>2025</x:v>
      </x:c>
      <x:c r="D5" s="88" t="str">
        <x:v>City</x:v>
      </x:c>
      <x:c r="E5" s="91" t="n">
        <x:v>42.4</x:v>
      </x:c>
      <x:c r="F5" s="91" t="n">
        <x:v>33.5</x:v>
      </x:c>
      <x:c r="G5" s="91" t="n">
        <x:v>14.6</x:v>
      </x:c>
      <x:c r="H5" s="90" t="n">
        <x:f>ROUND(G5*60,0)</x:f>
        <x:v>876</x:v>
      </x:c>
      <x:c r="I5" s="91" t="n">
        <x:v>10.3</x:v>
      </x:c>
      <x:c r="J5" s="91" t="n">
        <x:v>17.233333</x:v>
      </x:c>
      <x:c r="K5" s="91" t="n">
        <x:v>18.466667</x:v>
      </x:c>
      <x:c r="L5" s="91" t="n">
        <x:f>IFERROR((K5-J5)/AVERAGE(J5,K5),"")</x:f>
        <x:v>0.06909434173669483</x:v>
      </x:c>
      <x:c r="M5" s="91" t="n">
        <x:v>42.33</x:v>
      </x:c>
      <x:c r="N5" s="91" t="n">
        <x:v>3.08</x:v>
      </x:c>
      <x:c r="O5" s="91" t="n">
        <x:f>IFERROR(N5/M5,"")</x:f>
        <x:v>0.0727616347743917</x:v>
      </x:c>
      <x:c r="P5" s="87" t="str">
        <x:v>Mar</x:v>
      </x:c>
      <x:c r="Q5" s="101" t="n">
        <x:v>38</x:v>
      </x:c>
      <x:c r="R5" s="93" t="str">
        <x:v>Oct</x:v>
      </x:c>
      <x:c r="S5" s="103" t="n">
        <x:v>47</x:v>
      </x:c>
      <x:c r="T5" s="103" t="n">
        <x:v>73</x:v>
      </x:c>
      <x:c r="U5" s="103" t="n">
        <x:v>73.7</x:v>
      </x:c>
      <x:c r="V5" s="103" t="n">
        <x:v>34.8</x:v>
      </x:c>
      <x:c r="W5" s="103" t="n">
        <x:v>32.5</x:v>
      </x:c>
      <x:c r="X5" s="104" t="n">
        <x:v>57</x:v>
      </x:c>
      <x:c r="Y5" s="93" t="str">
        <x:v>Yes</x:v>
      </x:c>
      <x:c r="Z5" s="93" t="str">
        <x:v>Yes</x:v>
      </x:c>
      <x:c r="AA5" s="93" t="str">
        <x:v>final</x:v>
      </x:c>
      <x:c r="AB5" s="93" t="str">
        <x:v>TomTom Traffic Index 2025 cleaned dataset; city-level annual cards, rush-hour panel, 2025 monthly stats, and heatmap QC.</x:v>
      </x:c>
    </x:row>
    <x:row r="6">
      <x:c r="A6" s="86" t="str">
        <x:v>Johor Bahru</x:v>
      </x:c>
      <x:c r="B6" s="87" t="str">
        <x:v>Malaysia</x:v>
      </x:c>
      <x:c r="C6" s="90" t="n">
        <x:v>2025</x:v>
      </x:c>
      <x:c r="D6" s="88" t="str">
        <x:v>City</x:v>
      </x:c>
      <x:c r="E6" s="91" t="n">
        <x:v>39.5</x:v>
      </x:c>
      <x:c r="F6" s="91" t="n">
        <x:v>25.8</x:v>
      </x:c>
      <x:c r="G6" s="91" t="n">
        <x:v>20.683333</x:v>
      </x:c>
      <x:c r="H6" s="90" t="n">
        <x:f>ROUND(G6*60,0)</x:f>
        <x:v>1241</x:v>
      </x:c>
      <x:c r="I6" s="91" t="n">
        <x:v>7.3</x:v>
      </x:c>
      <x:c r="J6" s="91" t="n">
        <x:v>21.433333</x:v>
      </x:c>
      <x:c r="K6" s="91" t="n">
        <x:v>24.683333</x:v>
      </x:c>
      <x:c r="L6" s="91" t="n">
        <x:f>IFERROR((K6-J6)/AVERAGE(J6,K6),"")</x:f>
        <x:v>0.14094687590815866</x:v>
      </x:c>
      <x:c r="M6" s="91" t="n">
        <x:v>39.25</x:v>
      </x:c>
      <x:c r="N6" s="91" t="n">
        <x:v>1.54</x:v>
      </x:c>
      <x:c r="O6" s="91" t="n">
        <x:f>IFERROR(N6/M6,"")</x:f>
        <x:v>0.03923566878980892</x:v>
      </x:c>
      <x:c r="P6" s="87" t="str">
        <x:v>Feb</x:v>
      </x:c>
      <x:c r="Q6" s="101" t="n">
        <x:v>36</x:v>
      </x:c>
      <x:c r="R6" s="93" t="str">
        <x:v>Dec</x:v>
      </x:c>
      <x:c r="S6" s="103" t="n">
        <x:v>42</x:v>
      </x:c>
      <x:c r="T6" s="103" t="n">
        <x:v>45.1</x:v>
      </x:c>
      <x:c r="U6" s="103" t="n">
        <x:v>64.6</x:v>
      </x:c>
      <x:c r="V6" s="103" t="n">
        <x:v>28</x:v>
      </x:c>
      <x:c r="W6" s="103" t="n">
        <x:v>24.3</x:v>
      </x:c>
      <x:c r="X6" s="104" t="n">
        <x:v>65</x:v>
      </x:c>
      <x:c r="Y6" s="93" t="str">
        <x:v>Yes</x:v>
      </x:c>
      <x:c r="Z6" s="93" t="str">
        <x:v>Yes</x:v>
      </x:c>
      <x:c r="AA6" s="93" t="str">
        <x:v>final</x:v>
      </x:c>
      <x:c r="AB6" s="93" t="str">
        <x:v>TomTom Traffic Index 2025 cleaned dataset; city-level annual cards, rush-hour panel, 2025 monthly stats, and heatmap QC.</x:v>
      </x:c>
    </x:row>
    <x:row r="7">
      <x:c r="A7" s="86" t="str">
        <x:v>Ipoh</x:v>
      </x:c>
      <x:c r="B7" s="87" t="str">
        <x:v>Malaysia</x:v>
      </x:c>
      <x:c r="C7" s="90" t="n">
        <x:v>2025</x:v>
      </x:c>
      <x:c r="D7" s="88" t="str">
        <x:v>City</x:v>
      </x:c>
      <x:c r="E7" s="91" t="n">
        <x:v>34.4</x:v>
      </x:c>
      <x:c r="F7" s="91" t="n">
        <x:v>24.3</x:v>
      </x:c>
      <x:c r="G7" s="91" t="n">
        <x:v>22.216667</x:v>
      </x:c>
      <x:c r="H7" s="90" t="n">
        <x:f>ROUND(G7*60,0)</x:f>
        <x:v>1333</x:v>
      </x:c>
      <x:c r="I7" s="91" t="n">
        <x:v>6.8</x:v>
      </x:c>
      <x:c r="J7" s="91" t="n">
        <x:v>22.983333</x:v>
      </x:c>
      <x:c r="K7" s="91" t="n">
        <x:v>25.966667</x:v>
      </x:c>
      <x:c r="L7" s="91" t="n">
        <x:f>IFERROR((K7-J7)/AVERAGE(J7,K7),"")</x:f>
        <x:v>0.12189311542390205</x:v>
      </x:c>
      <x:c r="M7" s="91" t="n">
        <x:v>34.25</x:v>
      </x:c>
      <x:c r="N7" s="91" t="n">
        <x:v>1.91</x:v>
      </x:c>
      <x:c r="O7" s="91" t="n">
        <x:f>IFERROR(N7/M7,"")</x:f>
        <x:v>0.055766423357664234</x:v>
      </x:c>
      <x:c r="P7" s="87" t="str">
        <x:v>Apr</x:v>
      </x:c>
      <x:c r="Q7" s="101" t="n">
        <x:v>32</x:v>
      </x:c>
      <x:c r="R7" s="93" t="str">
        <x:v>Dec</x:v>
      </x:c>
      <x:c r="S7" s="103" t="n">
        <x:v>38</x:v>
      </x:c>
      <x:c r="T7" s="103" t="n">
        <x:v>38.3</x:v>
      </x:c>
      <x:c r="U7" s="103" t="n">
        <x:v>56.5</x:v>
      </x:c>
      <x:c r="V7" s="103" t="n">
        <x:v>26.1</x:v>
      </x:c>
      <x:c r="W7" s="103" t="n">
        <x:v>23.1</x:v>
      </x:c>
      <x:c r="X7" s="104" t="n">
        <x:v>62</x:v>
      </x:c>
      <x:c r="Y7" s="93" t="str">
        <x:v>Yes</x:v>
      </x:c>
      <x:c r="Z7" s="93" t="str">
        <x:v>Yes</x:v>
      </x:c>
      <x:c r="AA7" s="93" t="str">
        <x:v>final</x:v>
      </x:c>
      <x:c r="AB7" s="93" t="str">
        <x:v>TomTom Traffic Index 2025 cleaned dataset; city-level annual cards, rush-hour panel, 2025 monthly stats, and heatmap QC.</x:v>
      </x:c>
    </x:row>
    <x:row r="8">
      <x:c r="A8" s="94" t="str">
        <x:v>Kajang</x:v>
      </x:c>
      <x:c r="B8" s="95" t="str">
        <x:v>Malaysia</x:v>
      </x:c>
      <x:c r="C8" s="98" t="n">
        <x:v>2025</x:v>
      </x:c>
      <x:c r="D8" s="96" t="str">
        <x:v>City</x:v>
      </x:c>
      <x:c r="E8" s="99" t="n">
        <x:v>29.4</x:v>
      </x:c>
      <x:c r="F8" s="99" t="n">
        <x:v>38.9</x:v>
      </x:c>
      <x:c r="G8" s="99" t="n">
        <x:v>12.15</x:v>
      </x:c>
      <x:c r="H8" s="98" t="n">
        <x:f>ROUND(G8*60,0)</x:f>
        <x:v>729</x:v>
      </x:c>
      <x:c r="I8" s="99" t="n">
        <x:v>12.4</x:v>
      </x:c>
      <x:c r="J8" s="99" t="n">
        <x:v>14.15</x:v>
      </x:c>
      <x:c r="K8" s="99" t="n">
        <x:v>16.4</x:v>
      </x:c>
      <x:c r="L8" s="99" t="n">
        <x:f>IFERROR((K8-J8)/AVERAGE(J8,K8),"")</x:f>
        <x:v>0.14729950900163655</x:v>
      </x:c>
      <x:c r="M8" s="99" t="n">
        <x:v>29.33</x:v>
      </x:c>
      <x:c r="N8" s="99" t="n">
        <x:v>2.27</x:v>
      </x:c>
      <x:c r="O8" s="99" t="n">
        <x:f>IFERROR(N8/M8,"")</x:f>
        <x:v>0.07739515854074328</x:v>
      </x:c>
      <x:c r="P8" s="95" t="str">
        <x:v>Jun</x:v>
      </x:c>
      <x:c r="Q8" s="102" t="n">
        <x:v>26</x:v>
      </x:c>
      <x:c r="R8" s="93" t="str">
        <x:v>Apr</x:v>
      </x:c>
      <x:c r="S8" s="103" t="n">
        <x:v>33</x:v>
      </x:c>
      <x:c r="T8" s="103" t="n">
        <x:v>47.7</x:v>
      </x:c>
      <x:c r="U8" s="103" t="n">
        <x:v>68.9</x:v>
      </x:c>
      <x:c r="V8" s="103" t="n">
        <x:v>42.4</x:v>
      </x:c>
      <x:c r="W8" s="103" t="n">
        <x:v>36.6</x:v>
      </x:c>
      <x:c r="X8" s="104" t="n">
        <x:v>44</x:v>
      </x:c>
      <x:c r="Y8" s="93" t="str">
        <x:v>Yes</x:v>
      </x:c>
      <x:c r="Z8" s="93" t="str">
        <x:v>Yes</x:v>
      </x:c>
      <x:c r="AA8" s="93" t="str">
        <x:v>final</x:v>
      </x:c>
      <x:c r="AB8" s="93" t="str">
        <x:v>TomTom Traffic Index 2025 cleaned dataset; city-level annual cards, rush-hour panel, 2025 monthly stats, and heatmap QC.</x:v>
      </x:c>
    </x:row>
  </x:sheetData>
  <x:dataValidations count="2">
    <x:dataValidation type="list" sqref="O2:O8">
      <x:formula1>"Yes,No"</x:formula1>
    </x:dataValidation>
    <x:dataValidation type="list" sqref="P2:P8">
      <x:formula1>"to_fill,checked,final"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20efa6d31843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.780000686645508" hidden="0" customWidth="1"/>
    <x:col min="2" max="2" width="42" hidden="0" customWidth="1"/>
    <x:col min="3" max="3" width="14.399999618530273" hidden="0" customWidth="1"/>
    <x:col min="4" max="4" width="19.110000610351562" hidden="0" customWidth="1"/>
    <x:col min="5" max="5" width="42" hidden="0" customWidth="1"/>
  </x:cols>
  <x:sheetData>
    <x:row r="1">
      <x:c r="A1" s="84" t="str">
        <x:v>column</x:v>
      </x:c>
      <x:c r="B1" s="84" t="str">
        <x:v>description</x:v>
      </x:c>
      <x:c r="C1" s="84" t="str">
        <x:v>unit_or_scale</x:v>
      </x:c>
      <x:c r="D1" s="84" t="str">
        <x:v>required_for_merge</x:v>
      </x:c>
      <x:c r="E1" s="84" t="str">
        <x:v>note</x:v>
      </x:c>
    </x:row>
    <x:row r="2">
      <x:c r="A2" s="63" t="str">
        <x:v>city</x:v>
      </x:c>
      <x:c r="B2" s="63" t="str">
        <x:v>Standard city name used as merge key</x:v>
      </x:c>
      <x:c r="C2" s="63" t="str">
        <x:v>text</x:v>
      </x:c>
      <x:c r="D2" s="63" t="str">
        <x:v>Yes</x:v>
      </x:c>
      <x:c r="E2" s="63" t="str"/>
    </x:row>
    <x:row r="3">
      <x:c r="A3" s="63" t="str">
        <x:v>country</x:v>
      </x:c>
      <x:c r="B3" s="63" t="str">
        <x:v>Country name</x:v>
      </x:c>
      <x:c r="C3" s="63" t="str">
        <x:v>text</x:v>
      </x:c>
      <x:c r="D3" s="63" t="str">
        <x:v>Recommended</x:v>
      </x:c>
      <x:c r="E3" s="63" t="str"/>
    </x:row>
    <x:row r="4">
      <x:c r="A4" s="63" t="str">
        <x:v>year</x:v>
      </x:c>
      <x:c r="B4" s="63" t="str">
        <x:v>Reference year</x:v>
      </x:c>
      <x:c r="C4" s="63" t="str">
        <x:v>year</x:v>
      </x:c>
      <x:c r="D4" s="63" t="str">
        <x:v>Yes</x:v>
      </x:c>
      <x:c r="E4" s="63" t="str"/>
    </x:row>
    <x:row r="5">
      <x:c r="A5" s="63" t="str">
        <x:v>area_type</x:v>
      </x:c>
      <x:c r="B5" s="63" t="str">
        <x:v>TomTom spatial scope used for these indicators</x:v>
      </x:c>
      <x:c r="C5" s="63" t="str">
        <x:v>City/Metro</x:v>
      </x:c>
      <x:c r="D5" s="63" t="str">
        <x:v>Recommended</x:v>
      </x:c>
      <x:c r="E5" s="63" t="str">
        <x:v>City-level TomTom scope selected for consistency with the 7-city master dataset.</x:v>
      </x:c>
    </x:row>
    <x:row r="6">
      <x:c r="A6" s="63" t="str">
        <x:v>average_congestion_percent</x:v>
      </x:c>
      <x:c r="B6" s="63" t="str">
        <x:v>TomTom average congestion level from annual city card</x:v>
      </x:c>
      <x:c r="C6" s="63" t="str">
        <x:v>%</x:v>
      </x:c>
      <x:c r="D6" s="63" t="str">
        <x:v>Recommended</x:v>
      </x:c>
      <x:c r="E6" s="63" t="str"/>
    </x:row>
    <x:row r="7">
      <x:c r="A7" s="63" t="str">
        <x:v>average_speed_kmh</x:v>
      </x:c>
      <x:c r="B7" s="63" t="str">
        <x:v>TomTom average speed during rush hour from annual city card</x:v>
      </x:c>
      <x:c r="C7" s="63" t="str">
        <x:v>km/h</x:v>
      </x:c>
      <x:c r="D7" s="63" t="str">
        <x:v>Recommended</x:v>
      </x:c>
      <x:c r="E7" s="63" t="str"/>
    </x:row>
    <x:row r="8">
      <x:c r="A8" s="63" t="str">
        <x:v>tt10_min</x:v>
      </x:c>
      <x:c r="B8" s="63" t="str">
        <x:v>Average travel time for a 10-km trip</x:v>
      </x:c>
      <x:c r="C8" s="63" t="str">
        <x:v>min</x:v>
      </x:c>
      <x:c r="D8" s="63" t="str">
        <x:v>Recommended</x:v>
      </x:c>
      <x:c r="E8" s="63" t="str"/>
    </x:row>
    <x:row r="9">
      <x:c r="A9" s="63" t="str">
        <x:v>tt10_seconds</x:v>
      </x:c>
      <x:c r="B9" s="63" t="str">
        <x:v>Average travel time for a 10-km trip; formula = tt10_min × 60</x:v>
      </x:c>
      <x:c r="C9" s="63" t="str">
        <x:v>s</x:v>
      </x:c>
      <x:c r="D9" s="63" t="str">
        <x:v>Recommended</x:v>
      </x:c>
      <x:c r="E9" s="63" t="str"/>
    </x:row>
    <x:row r="10">
      <x:c r="A10" s="63" t="str">
        <x:v>avg_distance_15min_km</x:v>
      </x:c>
      <x:c r="B10" s="63" t="str">
        <x:v>Average distance driven in 15 minutes from annual card</x:v>
      </x:c>
      <x:c r="C10" s="63" t="str">
        <x:v>km</x:v>
      </x:c>
      <x:c r="D10" s="63" t="str">
        <x:v>Recommended</x:v>
      </x:c>
      <x:c r="E10" s="63" t="str"/>
    </x:row>
    <x:row r="11">
      <x:c r="A11" s="63" t="str">
        <x:v>am_peak_tt10_min</x:v>
      </x:c>
      <x:c r="B11" s="63" t="str">
        <x:v>Morning rush-hour 10-km travel time</x:v>
      </x:c>
      <x:c r="C11" s="63" t="str">
        <x:v>min</x:v>
      </x:c>
      <x:c r="D11" s="63" t="str">
        <x:v>Recommended</x:v>
      </x:c>
      <x:c r="E11" s="63" t="str"/>
    </x:row>
    <x:row r="12">
      <x:c r="A12" s="63" t="str">
        <x:v>pm_peak_tt10_min</x:v>
      </x:c>
      <x:c r="B12" s="63" t="str">
        <x:v>Evening rush-hour 10-km travel time</x:v>
      </x:c>
      <x:c r="C12" s="63" t="str">
        <x:v>min</x:v>
      </x:c>
      <x:c r="D12" s="63" t="str">
        <x:v>Recommended</x:v>
      </x:c>
      <x:c r="E12" s="63" t="str"/>
    </x:row>
    <x:row r="13">
      <x:c r="A13" s="63" t="str">
        <x:v>peak_asymmetry_index</x:v>
      </x:c>
      <x:c r="B13" s="63" t="str">
        <x:v>PM-AM peak asymmetry index; formula = (PM-AM)/AVERAGE(AM,PM)</x:v>
      </x:c>
      <x:c r="C13" s="63" t="str">
        <x:v>ratio</x:v>
      </x:c>
      <x:c r="D13" s="63" t="str">
        <x:v>Recommended</x:v>
      </x:c>
      <x:c r="E13" s="63" t="str"/>
    </x:row>
    <x:row r="14">
      <x:c r="A14" s="63" t="str">
        <x:v>monthly_congestion_mean_2025</x:v>
      </x:c>
      <x:c r="B14" s="63" t="str">
        <x:v>Mean 2025 monthly congestion, city scope</x:v>
      </x:c>
      <x:c r="C14" s="63" t="str">
        <x:v>%</x:v>
      </x:c>
      <x:c r="D14" s="63" t="str">
        <x:v>Recommended</x:v>
      </x:c>
      <x:c r="E14" s="63" t="str"/>
    </x:row>
    <x:row r="15">
      <x:c r="A15" s="63" t="str">
        <x:v>monthly_congestion_sd_2025</x:v>
      </x:c>
      <x:c r="B15" s="63" t="str">
        <x:v>Standard deviation of 2025 monthly congestion, city scope</x:v>
      </x:c>
      <x:c r="C15" s="63" t="str">
        <x:v>percentage points</x:v>
      </x:c>
      <x:c r="D15" s="63" t="str">
        <x:v>Recommended</x:v>
      </x:c>
      <x:c r="E15" s="63" t="str"/>
    </x:row>
    <x:row r="16">
      <x:c r="A16" s="63" t="str">
        <x:v>monthly_congestion_cv_2025</x:v>
      </x:c>
      <x:c r="B16" s="63" t="str">
        <x:v>Coefficient of variation of 2025 monthly congestion; formula = SD/mean</x:v>
      </x:c>
      <x:c r="C16" s="63" t="str">
        <x:v>ratio</x:v>
      </x:c>
      <x:c r="D16" s="63" t="str">
        <x:v>Recommended</x:v>
      </x:c>
      <x:c r="E16" s="63" t="str"/>
    </x:row>
    <x:row r="17">
      <x:c r="A17" s="63" t="str">
        <x:v>monthly_min_month_2025</x:v>
      </x:c>
      <x:c r="B17" s="63" t="str">
        <x:v>Month with minimum 2025 congestion</x:v>
      </x:c>
      <x:c r="C17" s="63" t="str">
        <x:v>month</x:v>
      </x:c>
      <x:c r="D17" s="63" t="str">
        <x:v>Recommended</x:v>
      </x:c>
      <x:c r="E17" s="63" t="str"/>
    </x:row>
    <x:row r="18">
      <x:c r="A18" s="63" t="str">
        <x:v>monthly_min_percent_2025</x:v>
      </x:c>
      <x:c r="B18" s="63" t="str">
        <x:v>Minimum monthly congestion in 2025</x:v>
      </x:c>
      <x:c r="C18" s="63" t="str">
        <x:v>%</x:v>
      </x:c>
      <x:c r="D18" s="63" t="str">
        <x:v>Recommended</x:v>
      </x:c>
      <x:c r="E18" s="63" t="str"/>
    </x:row>
    <x:row r="19">
      <x:c r="A19" s="63" t="str">
        <x:v>monthly_max_month_2025</x:v>
      </x:c>
      <x:c r="B19" s="63" t="str">
        <x:v>Month with maximum 2025 congestion</x:v>
      </x:c>
      <x:c r="C19" s="63" t="str">
        <x:v>month</x:v>
      </x:c>
      <x:c r="D19" s="63" t="str">
        <x:v>Recommended</x:v>
      </x:c>
      <x:c r="E19" s="63" t="str"/>
    </x:row>
    <x:row r="20">
      <x:c r="A20" s="63" t="str">
        <x:v>monthly_max_percent_2025</x:v>
      </x:c>
      <x:c r="B20" s="63" t="str">
        <x:v>Maximum monthly congestion in 2025</x:v>
      </x:c>
      <x:c r="C20" s="63" t="str">
        <x:v>%</x:v>
      </x:c>
      <x:c r="D20" s="63" t="str">
        <x:v>Recommended</x:v>
      </x:c>
      <x:c r="E20" s="63" t="str"/>
    </x:row>
    <x:row r="21">
      <x:c r="A21" s="63" t="str">
        <x:v>am_peak_congestion_percent</x:v>
      </x:c>
      <x:c r="B21" s="63" t="str">
        <x:v>Morning rush-hour average congestion level</x:v>
      </x:c>
      <x:c r="C21" s="63" t="str">
        <x:v>%</x:v>
      </x:c>
      <x:c r="D21" s="63" t="str">
        <x:v>Recommended</x:v>
      </x:c>
      <x:c r="E21" s="63" t="str"/>
    </x:row>
    <x:row r="22">
      <x:c r="A22" s="63" t="str">
        <x:v>pm_peak_congestion_percent</x:v>
      </x:c>
      <x:c r="B22" s="63" t="str">
        <x:v>Evening rush-hour average congestion level</x:v>
      </x:c>
      <x:c r="C22" s="63" t="str">
        <x:v>%</x:v>
      </x:c>
      <x:c r="D22" s="63" t="str">
        <x:v>Recommended</x:v>
      </x:c>
      <x:c r="E22" s="63" t="str"/>
    </x:row>
    <x:row r="23">
      <x:c r="A23" s="63" t="str">
        <x:v>am_peak_speed_kmh</x:v>
      </x:c>
      <x:c r="B23" s="63" t="str">
        <x:v>Morning rush-hour average speed</x:v>
      </x:c>
      <x:c r="C23" s="63" t="str">
        <x:v>km/h</x:v>
      </x:c>
      <x:c r="D23" s="63" t="str">
        <x:v>Recommended</x:v>
      </x:c>
      <x:c r="E23" s="63" t="str"/>
    </x:row>
    <x:row r="24">
      <x:c r="A24" s="63" t="str">
        <x:v>pm_peak_speed_kmh</x:v>
      </x:c>
      <x:c r="B24" s="63" t="str">
        <x:v>Evening rush-hour average speed</x:v>
      </x:c>
      <x:c r="C24" s="63" t="str">
        <x:v>km/h</x:v>
      </x:c>
      <x:c r="D24" s="63" t="str">
        <x:v>Recommended</x:v>
      </x:c>
      <x:c r="E24" s="63" t="str"/>
    </x:row>
    <x:row r="25">
      <x:c r="A25" s="63" t="str">
        <x:v>rush_hour_time_lost_hours</x:v>
      </x:c>
      <x:c r="B25" s="63" t="str">
        <x:v>Annual time lost due to rush-hour traffic in 2025</x:v>
      </x:c>
      <x:c r="C25" s="63" t="str">
        <x:v>hours</x:v>
      </x:c>
      <x:c r="D25" s="63" t="str">
        <x:v>Recommended</x:v>
      </x:c>
      <x:c r="E25" s="63" t="str"/>
    </x:row>
    <x:row r="26">
      <x:c r="A26" s="63" t="str">
        <x:v>monthly_complete</x:v>
      </x:c>
      <x:c r="B26" s="63" t="str">
        <x:v>Whether monthly city-level 2025 data passed completeness QC</x:v>
      </x:c>
      <x:c r="C26" s="63" t="str">
        <x:v>Yes/No</x:v>
      </x:c>
      <x:c r="D26" s="63" t="str">
        <x:v>Recommended</x:v>
      </x:c>
      <x:c r="E26" s="63" t="str"/>
    </x:row>
    <x:row r="27">
      <x:c r="A27" s="63" t="str">
        <x:v>heatmap_complete</x:v>
      </x:c>
      <x:c r="B27" s="63" t="str">
        <x:v>Whether heatmap data passed completeness QC for all 3 metrics</x:v>
      </x:c>
      <x:c r="C27" s="63" t="str">
        <x:v>Yes/No</x:v>
      </x:c>
      <x:c r="D27" s="63" t="str">
        <x:v>Recommended</x:v>
      </x:c>
      <x:c r="E27" s="63" t="str"/>
    </x:row>
    <x:row r="28">
      <x:c r="A28" s="63" t="str">
        <x:v>data_status</x:v>
      </x:c>
      <x:c r="B28" s="63" t="str">
        <x:v>Processing status</x:v>
      </x:c>
      <x:c r="C28" s="63" t="str">
        <x:v>category</x:v>
      </x:c>
      <x:c r="D28" s="63" t="str">
        <x:v>No</x:v>
      </x:c>
      <x:c r="E28" s="63" t="str"/>
    </x:row>
    <x:row r="29">
      <x:c r="A29" s="63" t="str">
        <x:v>source_note</x:v>
      </x:c>
      <x:c r="B29" s="63" t="str">
        <x:v>Source and processing note</x:v>
      </x:c>
      <x:c r="C29" s="63" t="str">
        <x:v>text</x:v>
      </x:c>
      <x:c r="D29" s="63" t="str">
        <x:v>No</x:v>
      </x:c>
      <x:c r="E29" s="63" t="str"/>
    </x:row>
  </x:sheetData>
  <x:pageMargins left="0.7" right="0.7" top="0.75" bottom="0.75" header="0.3" footer="0.3"/>
  <x:tableParts count="1">
    <x:tablePart xmlns:r="http://schemas.openxmlformats.org/officeDocument/2006/relationships" r:id="R8beb5a07eea442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05" t="str">
        <x:v>TomTom_7cities_indicators.xlsx - completed version</x:v>
      </x:c>
    </x:row>
    <x:row r="2">
      <x:c r="A2" s="63" t="str">
        <x:v>This workbook has been populated from Malaysia_7Cities_TomTom_2025_Paper_Dataset.xlsx plus monthly and heatmap QC files.</x:v>
      </x:c>
    </x:row>
    <x:row r="3">
      <x:c r="A3" s="63" t="str">
        <x:v>Main table uses TomTom City scope for all 7 cities to support one-row-per-city master dataset merging.</x:v>
      </x:c>
    </x:row>
    <x:row r="4">
      <x:c r="A4" s="63" t="str">
        <x:v>Formula columns: tt10_seconds, peak_asymmetry_index, monthly_congestion_cv_2025.</x:v>
      </x:c>
    </x:row>
    <x:row r="5">
      <x:c r="A5" s="63" t="str">
        <x:v>The average_speed_kmh field is the annual-card average speed during rush hour.</x:v>
      </x:c>
    </x:row>
    <x:row r="6">
      <x:c r="A6" s="63" t="str">
        <x:v>monthly_complete and heatmap_complete are derived from uploaded QC files.</x:v>
      </x:c>
    </x:row>
    <x:row r="7">
      <x:c r="A7" s="63" t="str">
        <x:v>Place this workbook at D:\2026Graduation Thesis\OSM\TomTom_Input\TomTom_7cities_indicators.xlsx before running merge_master_dataset.py.</x:v>
      </x:c>
    </x:row>
    <x:row r="8">
      <x:c r="A8" s="63" t="str">
        <x:v>Do not change city names unless you also update the merge script city map.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7.539999961853027" hidden="0" customWidth="1"/>
  </x:cols>
  <x:sheetData>
    <x:row r="1">
      <x:c r="A1" s="84" t="str">
        <x:v>check_item</x:v>
      </x:c>
      <x:c r="B1" s="84" t="str">
        <x:v>expected</x:v>
      </x:c>
      <x:c r="C1" s="84" t="str">
        <x:v>observed</x:v>
      </x:c>
      <x:c r="D1" s="84" t="str">
        <x:v>status</x:v>
      </x:c>
    </x:row>
    <x:row r="2">
      <x:c r="A2" s="63" t="str">
        <x:v>Rows in TomTom indicator table</x:v>
      </x:c>
      <x:c r="B2" s="63" t="n">
        <x:v>7</x:v>
      </x:c>
      <x:c r="C2" s="63" t="n">
        <x:v>7</x:v>
      </x:c>
      <x:c r="D2" s="63" t="str">
        <x:v>PASS</x:v>
      </x:c>
    </x:row>
    <x:row r="3">
      <x:c r="A3" s="63" t="str">
        <x:v>Monthly completeness for city 2025</x:v>
      </x:c>
      <x:c r="B3" s="63" t="str">
        <x:v>PASS for all 7</x:v>
      </x:c>
      <x:c r="C3" s="63" t="str">
        <x:v>PASS for all 7</x:v>
      </x:c>
      <x:c r="D3" s="63" t="str">
        <x:v>PASS</x:v>
      </x:c>
    </x:row>
    <x:row r="4">
      <x:c r="A4" s="63" t="str">
        <x:v>Heatmap completeness</x:v>
      </x:c>
      <x:c r="B4" s="63" t="str">
        <x:v>PASS for all 7 and 3 metrics</x:v>
      </x:c>
      <x:c r="C4" s="63" t="str">
        <x:v>PASS for all 7 and 3 metrics</x:v>
      </x:c>
      <x:c r="D4" s="63" t="str">
        <x:v>PASS</x:v>
      </x:c>
    </x:row>
    <x:row r="5">
      <x:c r="A5" s="63" t="str">
        <x:v>Required annual metrics populated</x:v>
      </x:c>
      <x:c r="B5" s="63" t="str">
        <x:v>No missing core fields</x:v>
      </x:c>
      <x:c r="C5" s="63" t="str">
        <x:v>No missing core fields</x:v>
      </x:c>
      <x:c r="D5" s="63" t="str">
        <x:v>PASS</x:v>
      </x:c>
    </x:row>
    <x:row r="6">
      <x:c r="A6" s="63" t="str">
        <x:v>Formula columns set</x:v>
      </x:c>
      <x:c r="B6" s="63" t="str">
        <x:v>H, L, O</x:v>
      </x:c>
      <x:c r="C6" s="63" t="str">
        <x:v>H, L, O</x:v>
      </x:c>
      <x:c r="D6" s="63" t="str">
        <x:v>PASS</x:v>
      </x:c>
    </x:row>
    <x:row r="7">
      <x:c r="A7" s="63" t="str">
        <x:v>Data status</x:v>
      </x:c>
      <x:c r="B7" s="63" t="str">
        <x:v>final for all rows</x:v>
      </x:c>
      <x:c r="C7" s="63" t="str">
        <x:v>final for all rows</x:v>
      </x:c>
      <x:c r="D7" s="63" t="str">
        <x:v>PASS</x:v>
      </x:c>
    </x:row>
  </x:sheetData>
  <x:dataValidations count="1">
    <x:dataValidation type="list" sqref="B2:B6">
      <x:formula1>"to_check,PASS,FAIL"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61e87792e642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.2599983215332" hidden="0" customWidth="1"/>
    <x:col min="2" max="2" width="13.859999656677246" hidden="0" customWidth="1"/>
    <x:col min="3" max="3" width="50" hidden="0" customWidth="1"/>
    <x:col min="4" max="4" width="4.849999904632568" hidden="0" customWidth="1"/>
  </x:cols>
  <x:sheetData>
    <x:row r="1">
      <x:c r="A1" s="106" t="str">
        <x:v>input_file</x:v>
      </x:c>
      <x:c r="B1" s="106" t="str">
        <x:v>sheet_or_file</x:v>
      </x:c>
      <x:c r="C1" s="106" t="str">
        <x:v>used_for</x:v>
      </x:c>
      <x:c r="D1" s="106" t="str">
        <x:v>status</x:v>
      </x:c>
    </x:row>
    <x:row r="2">
      <x:c r="A2" t="str">
        <x:v>Malaysia_7Cities_TomTom_2025_Paper_Dataset.xlsx</x:v>
      </x:c>
      <x:c r="B2" t="str">
        <x:v>Overview_2025</x:v>
      </x:c>
      <x:c r="C2" t="str">
        <x:v>annual congestion, speed, TT10, distance</x:v>
      </x:c>
      <x:c r="D2" t="str">
        <x:v>used</x:v>
      </x:c>
    </x:row>
    <x:row r="3">
      <x:c r="A3" t="str">
        <x:v>Malaysia_7Cities_TomTom_2025_Paper_Dataset.xlsx</x:v>
      </x:c>
      <x:c r="B3" t="str">
        <x:v>Rush_Hour_2025</x:v>
      </x:c>
      <x:c r="C3" t="str">
        <x:v>AM/PM peak TT10, congestion, speed, time lost</x:v>
      </x:c>
      <x:c r="D3" t="str">
        <x:v>used</x:v>
      </x:c>
    </x:row>
    <x:row r="4">
      <x:c r="A4" t="str">
        <x:v>Malaysia_7Cities_TomTom_2025_Paper_Dataset.xlsx</x:v>
      </x:c>
      <x:c r="B4" t="str">
        <x:v>Monthly_Stats</x:v>
      </x:c>
      <x:c r="C4" t="str">
        <x:v>2025 monthly mean, SD, min/max month</x:v>
      </x:c>
      <x:c r="D4" t="str">
        <x:v>used</x:v>
      </x:c>
    </x:row>
    <x:row r="5">
      <x:c r="A5" t="str">
        <x:v>monthly_completeness_qc.csv</x:v>
      </x:c>
      <x:c r="B5" t="str">
        <x:v>City 2025 records</x:v>
      </x:c>
      <x:c r="C5" t="str">
        <x:v>monthly_complete flag</x:v>
      </x:c>
      <x:c r="D5" t="str">
        <x:v>used</x:v>
      </x:c>
    </x:row>
    <x:row r="6">
      <x:c r="A6" t="str">
        <x:v>heatmap_completeness_qc.csv</x:v>
      </x:c>
      <x:c r="B6" t="str">
        <x:v>all metric rows</x:v>
      </x:c>
      <x:c r="C6" t="str">
        <x:v>heatmap_complete flag</x:v>
      </x:c>
      <x:c r="D6" t="str">
        <x:v>used</x:v>
      </x:c>
    </x:row>
  </x:sheetData>
  <x:pageMargins left="0.7" right="0.7" top="0.75" bottom="0.75" header="0.3" footer="0.3"/>
</x:worksheet>
</file>